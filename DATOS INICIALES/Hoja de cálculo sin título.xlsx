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<sst xmlns="http://schemas.openxmlformats.org/spreadsheetml/2006/main" count="75" uniqueCount="54">
  <si>
    <t>CANAL DIRECTO</t>
  </si>
  <si>
    <t>COSTO UNITARIO X PRODUCTO</t>
  </si>
  <si>
    <t>Costo</t>
  </si>
  <si>
    <t>Margen</t>
  </si>
  <si>
    <t>Total</t>
  </si>
  <si>
    <t>Mantequilla de mani 150gr</t>
  </si>
  <si>
    <t>Mantequilla Almendra 150gr</t>
  </si>
  <si>
    <t>Mantequilla de Chocomaní 150gr</t>
  </si>
  <si>
    <t>Mantequilla Crunchi 150gr</t>
  </si>
  <si>
    <t>Costo almendras 1kg</t>
  </si>
  <si>
    <t>Costo mantequilla 1kg</t>
  </si>
  <si>
    <t>Promocion 2 de mantequillas de almendra</t>
  </si>
  <si>
    <t>Promociones 3 mantequillas de almendra</t>
  </si>
  <si>
    <t>CANAL B2B</t>
  </si>
  <si>
    <t>COMBO 3 MANTEQUILLAS</t>
  </si>
  <si>
    <t>MR.PEANUTT BALDE 4KG</t>
  </si>
  <si>
    <t>MR.PEANUTT BALDE 1KG</t>
  </si>
  <si>
    <t>COSTO</t>
  </si>
  <si>
    <t>BALDE 4KG</t>
  </si>
  <si>
    <t>BALDE 1 KG</t>
  </si>
  <si>
    <t>MANTEQUILLA 1</t>
  </si>
  <si>
    <t>MANTEQUILLA 4KG</t>
  </si>
  <si>
    <t>MANTEQUILLA 2</t>
  </si>
  <si>
    <t>ETIQUETA</t>
  </si>
  <si>
    <t>ALMENDRA 1</t>
  </si>
  <si>
    <t>COSTO TOTAL</t>
  </si>
  <si>
    <t>TOTAL</t>
  </si>
  <si>
    <t>Nota Máximo 1 mantequilla de almendra por promo</t>
  </si>
  <si>
    <t xml:space="preserve">MARGENES Y COSTOS </t>
  </si>
  <si>
    <t>BALDE DE 4KG</t>
  </si>
  <si>
    <t xml:space="preserve">Costo </t>
  </si>
  <si>
    <t xml:space="preserve">Margen </t>
  </si>
  <si>
    <t>Precio Sin IGV</t>
  </si>
  <si>
    <t>Precio con IGV</t>
  </si>
  <si>
    <t>Descuento</t>
  </si>
  <si>
    <t>Unidades mínimas</t>
  </si>
  <si>
    <t>Precio comercial - Balde de 4kg</t>
  </si>
  <si>
    <t>Compras mayores a 400 soles</t>
  </si>
  <si>
    <t>Precio Mayorista - Balde de 4kg</t>
  </si>
  <si>
    <t>Compras mayores a 650 soles</t>
  </si>
  <si>
    <t>Precio Distribuidor - Balde de 4kg</t>
  </si>
  <si>
    <t>Compras mayores a 900 soles</t>
  </si>
  <si>
    <t>Precio Exclusivo - Balde de 4kg</t>
  </si>
  <si>
    <t>MANTEQUILLA DE MANI</t>
  </si>
  <si>
    <t>Pedidos menores a 500</t>
  </si>
  <si>
    <t>Precio Comercial</t>
  </si>
  <si>
    <t>Pedidos mayores a 700</t>
  </si>
  <si>
    <t>Precio Mayorista</t>
  </si>
  <si>
    <t>Pedidos mayores a 1000</t>
  </si>
  <si>
    <t>Precio Distribuidor</t>
  </si>
  <si>
    <t>Pedidos mayores a 1600</t>
  </si>
  <si>
    <t>Precio Exclusivo</t>
  </si>
  <si>
    <t>MANTEQUILLA DE ALMENDRA</t>
  </si>
  <si>
    <t>Precio de venta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</si>
</sst>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S/.]#,##0.00"/>
    <numFmt numFmtId="165" formatCode="d-m"/>
    <numFmt numFmtId="166" formatCode="#,##0.0"/>
    <numFmt numFmtId="167" formatCode="[$S/.]#,##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164" xfId="0" applyFill="1" applyFont="1" applyNumberFormat="1"/>
    <xf borderId="0" fillId="4" fontId="1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0" xfId="0" applyFont="1" applyNumberFormat="1"/>
    <xf borderId="0" fillId="0" fontId="1" numFmtId="166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32.75"/>
    <col customWidth="1" min="3" max="3" width="15.63"/>
    <col customWidth="1" min="5" max="5" width="17.75"/>
    <col customWidth="1" min="6" max="6" width="18.5"/>
    <col customWidth="1" min="7" max="7" width="18.63"/>
  </cols>
  <sheetData>
    <row r="1">
      <c r="B1" s="1" t="s">
        <v>0</v>
      </c>
    </row>
    <row r="2">
      <c r="B2" s="2" t="s">
        <v>1</v>
      </c>
      <c r="C2" s="1" t="s">
        <v>2</v>
      </c>
      <c r="D2" s="1" t="s">
        <v>3</v>
      </c>
      <c r="E2" s="1" t="s">
        <v>4</v>
      </c>
    </row>
    <row r="3">
      <c r="B3" s="1" t="s">
        <v>5</v>
      </c>
      <c r="C3" s="3">
        <v>5.8</v>
      </c>
      <c r="D3" s="4">
        <v>0.748</v>
      </c>
      <c r="E3" s="5">
        <f t="shared" ref="E3:E6" si="1">C3/(1-D3)</f>
        <v>23.01587302</v>
      </c>
    </row>
    <row r="4">
      <c r="B4" s="1" t="s">
        <v>6</v>
      </c>
      <c r="C4" s="3">
        <v>11.0</v>
      </c>
      <c r="D4" s="4">
        <v>0.56</v>
      </c>
      <c r="E4" s="5">
        <f t="shared" si="1"/>
        <v>25</v>
      </c>
    </row>
    <row r="5">
      <c r="B5" s="1" t="s">
        <v>7</v>
      </c>
      <c r="C5" s="3">
        <v>5.9</v>
      </c>
      <c r="D5" s="4">
        <v>0.748</v>
      </c>
      <c r="E5" s="5">
        <f t="shared" si="1"/>
        <v>23.41269841</v>
      </c>
    </row>
    <row r="6">
      <c r="B6" s="1" t="s">
        <v>8</v>
      </c>
      <c r="C6" s="3">
        <v>5.9</v>
      </c>
      <c r="D6" s="4">
        <v>0.748</v>
      </c>
      <c r="E6" s="5">
        <f t="shared" si="1"/>
        <v>23.41269841</v>
      </c>
    </row>
    <row r="7">
      <c r="G7" s="1" t="s">
        <v>9</v>
      </c>
      <c r="H7" s="5">
        <v>40.0</v>
      </c>
      <c r="I7" s="5">
        <f>H7/5</f>
        <v>8</v>
      </c>
      <c r="J7" s="1">
        <v>10.2</v>
      </c>
    </row>
    <row r="8">
      <c r="C8" s="1" t="s">
        <v>2</v>
      </c>
      <c r="D8" s="1" t="s">
        <v>3</v>
      </c>
      <c r="E8" s="1" t="s">
        <v>4</v>
      </c>
      <c r="G8" s="1" t="s">
        <v>10</v>
      </c>
      <c r="H8" s="5">
        <v>10.0</v>
      </c>
    </row>
    <row r="9">
      <c r="B9" s="1" t="s">
        <v>11</v>
      </c>
      <c r="C9" s="5">
        <f>C4*2</f>
        <v>22</v>
      </c>
      <c r="D9" s="6">
        <v>0.612</v>
      </c>
      <c r="E9" s="5">
        <f t="shared" ref="E9:E10" si="2">C9/(1-D9)</f>
        <v>56.70103093</v>
      </c>
    </row>
    <row r="10">
      <c r="B10" s="1" t="s">
        <v>12</v>
      </c>
      <c r="C10" s="5">
        <f>C4*3</f>
        <v>33</v>
      </c>
      <c r="D10" s="6">
        <v>0.2325</v>
      </c>
      <c r="E10" s="5">
        <f t="shared" si="2"/>
        <v>42.99674267</v>
      </c>
    </row>
    <row r="13">
      <c r="B13" s="7" t="s">
        <v>13</v>
      </c>
    </row>
    <row r="14">
      <c r="L14" s="1" t="s">
        <v>14</v>
      </c>
    </row>
    <row r="15">
      <c r="B15" s="1" t="s">
        <v>15</v>
      </c>
      <c r="E15" s="1" t="s">
        <v>16</v>
      </c>
      <c r="M15" s="1" t="s">
        <v>17</v>
      </c>
    </row>
    <row r="16">
      <c r="B16" s="1" t="s">
        <v>18</v>
      </c>
      <c r="C16" s="5">
        <v>5.19</v>
      </c>
      <c r="E16" s="1" t="s">
        <v>19</v>
      </c>
      <c r="F16" s="1">
        <v>3.0</v>
      </c>
      <c r="L16" s="1" t="s">
        <v>20</v>
      </c>
      <c r="M16" s="5">
        <f>C3</f>
        <v>5.8</v>
      </c>
    </row>
    <row r="17">
      <c r="B17" s="1" t="s">
        <v>21</v>
      </c>
      <c r="C17" s="5">
        <f>4*10</f>
        <v>40</v>
      </c>
      <c r="L17" s="1" t="s">
        <v>22</v>
      </c>
      <c r="M17" s="5">
        <f>C5</f>
        <v>5.9</v>
      </c>
    </row>
    <row r="18">
      <c r="B18" s="1" t="s">
        <v>23</v>
      </c>
      <c r="C18" s="3">
        <v>1.7</v>
      </c>
      <c r="L18" s="1" t="s">
        <v>24</v>
      </c>
      <c r="M18" s="5">
        <f>C4</f>
        <v>11</v>
      </c>
    </row>
    <row r="19">
      <c r="B19" s="8" t="s">
        <v>25</v>
      </c>
      <c r="C19" s="9">
        <f>SUM(C16:C18)</f>
        <v>46.89</v>
      </c>
      <c r="L19" s="1" t="s">
        <v>26</v>
      </c>
      <c r="M19" s="5">
        <f>SUM(M16:M18)</f>
        <v>22.7</v>
      </c>
      <c r="N19" s="6">
        <v>0.43</v>
      </c>
      <c r="O19" s="5">
        <f>M19/(1-N19)</f>
        <v>39.8245614</v>
      </c>
    </row>
    <row r="20">
      <c r="L20" s="1" t="s">
        <v>27</v>
      </c>
    </row>
    <row r="22">
      <c r="A22" s="1" t="s">
        <v>28</v>
      </c>
    </row>
    <row r="23">
      <c r="A23" s="10" t="s">
        <v>29</v>
      </c>
      <c r="C23" s="1" t="s">
        <v>30</v>
      </c>
      <c r="D23" s="1" t="s">
        <v>31</v>
      </c>
      <c r="E23" s="1" t="s">
        <v>32</v>
      </c>
      <c r="F23" s="1" t="s">
        <v>33</v>
      </c>
      <c r="G23" s="1" t="s">
        <v>34</v>
      </c>
      <c r="H23" s="1" t="s">
        <v>35</v>
      </c>
      <c r="J23" s="5"/>
    </row>
    <row r="24">
      <c r="B24" s="1" t="s">
        <v>36</v>
      </c>
      <c r="C24" s="5">
        <f>C19</f>
        <v>46.89</v>
      </c>
      <c r="D24" s="4">
        <v>0.59</v>
      </c>
      <c r="E24" s="5">
        <f t="shared" ref="E24:E27" si="3">C24/(1-D24)</f>
        <v>114.3658537</v>
      </c>
      <c r="F24" s="5">
        <f t="shared" ref="F24:F27" si="4">E24*1.18</f>
        <v>134.9517073</v>
      </c>
      <c r="G24" s="6">
        <v>0.0</v>
      </c>
      <c r="H24" s="11">
        <v>46054.0</v>
      </c>
      <c r="J24" s="5"/>
    </row>
    <row r="25">
      <c r="A25" s="1" t="s">
        <v>37</v>
      </c>
      <c r="B25" s="1" t="s">
        <v>38</v>
      </c>
      <c r="C25" s="5">
        <f t="shared" ref="C25:C27" si="5">C24</f>
        <v>46.89</v>
      </c>
      <c r="D25" s="4">
        <v>0.52</v>
      </c>
      <c r="E25" s="5">
        <f t="shared" si="3"/>
        <v>97.6875</v>
      </c>
      <c r="F25" s="5">
        <f t="shared" si="4"/>
        <v>115.27125</v>
      </c>
      <c r="G25" s="12">
        <f>1-(E25/E24)</f>
        <v>0.1458333333</v>
      </c>
      <c r="H25" s="13">
        <f>400/E25</f>
        <v>4.094689699</v>
      </c>
      <c r="J25" s="5"/>
    </row>
    <row r="26">
      <c r="A26" s="1" t="s">
        <v>39</v>
      </c>
      <c r="B26" s="1" t="s">
        <v>40</v>
      </c>
      <c r="C26" s="5">
        <f t="shared" si="5"/>
        <v>46.89</v>
      </c>
      <c r="D26" s="4">
        <v>0.458</v>
      </c>
      <c r="E26" s="5">
        <f t="shared" si="3"/>
        <v>86.51291513</v>
      </c>
      <c r="F26" s="5">
        <f t="shared" si="4"/>
        <v>102.0852399</v>
      </c>
      <c r="G26" s="12">
        <f>1-(E26/E24)</f>
        <v>0.2435424354</v>
      </c>
      <c r="H26" s="13">
        <f>650/E26</f>
        <v>7.513329068</v>
      </c>
      <c r="J26" s="5"/>
    </row>
    <row r="27">
      <c r="A27" s="1" t="s">
        <v>41</v>
      </c>
      <c r="B27" s="1" t="s">
        <v>42</v>
      </c>
      <c r="C27" s="5">
        <f t="shared" si="5"/>
        <v>46.89</v>
      </c>
      <c r="D27" s="4">
        <v>0.412</v>
      </c>
      <c r="E27" s="5">
        <f t="shared" si="3"/>
        <v>79.74489796</v>
      </c>
      <c r="F27" s="5">
        <f t="shared" si="4"/>
        <v>94.09897959</v>
      </c>
      <c r="G27" s="12">
        <f>1-(E27/E24)</f>
        <v>0.3027210884</v>
      </c>
      <c r="H27" s="13">
        <f>900/E27</f>
        <v>11.28598848</v>
      </c>
    </row>
    <row r="29">
      <c r="A29" s="1" t="s">
        <v>43</v>
      </c>
    </row>
    <row r="30">
      <c r="C30" s="1" t="s">
        <v>30</v>
      </c>
      <c r="D30" s="1" t="s">
        <v>31</v>
      </c>
      <c r="E30" s="1" t="s">
        <v>32</v>
      </c>
      <c r="F30" s="1" t="s">
        <v>33</v>
      </c>
      <c r="G30" s="1" t="s">
        <v>34</v>
      </c>
      <c r="H30" s="1" t="s">
        <v>35</v>
      </c>
    </row>
    <row r="31">
      <c r="A31" s="1" t="s">
        <v>44</v>
      </c>
      <c r="B31" s="1" t="s">
        <v>45</v>
      </c>
      <c r="C31" s="5">
        <f>C3</f>
        <v>5.8</v>
      </c>
      <c r="D31" s="4">
        <v>0.586</v>
      </c>
      <c r="E31" s="5">
        <f t="shared" ref="E31:E34" si="6">C31/(1-D31)</f>
        <v>14.00966184</v>
      </c>
      <c r="F31" s="5">
        <f t="shared" ref="F31:F34" si="7">E31*1.18</f>
        <v>16.53140097</v>
      </c>
      <c r="G31" s="6">
        <v>0.0</v>
      </c>
      <c r="H31" s="11"/>
    </row>
    <row r="32">
      <c r="A32" s="1" t="s">
        <v>46</v>
      </c>
      <c r="B32" s="1" t="s">
        <v>47</v>
      </c>
      <c r="C32" s="5">
        <f t="shared" ref="C32:C34" si="8">$C$31</f>
        <v>5.8</v>
      </c>
      <c r="D32" s="4">
        <v>0.5</v>
      </c>
      <c r="E32" s="5">
        <f t="shared" si="6"/>
        <v>11.6</v>
      </c>
      <c r="F32" s="14">
        <f t="shared" si="7"/>
        <v>13.688</v>
      </c>
      <c r="G32" s="6">
        <v>0.0</v>
      </c>
      <c r="H32" s="12">
        <f>1-(F32/F31)</f>
        <v>0.172</v>
      </c>
    </row>
    <row r="33">
      <c r="A33" s="1" t="s">
        <v>48</v>
      </c>
      <c r="B33" s="1" t="s">
        <v>49</v>
      </c>
      <c r="C33" s="5">
        <f t="shared" si="8"/>
        <v>5.8</v>
      </c>
      <c r="D33" s="4">
        <v>0.45</v>
      </c>
      <c r="E33" s="5">
        <f t="shared" si="6"/>
        <v>10.54545455</v>
      </c>
      <c r="F33" s="5">
        <f t="shared" si="7"/>
        <v>12.44363636</v>
      </c>
      <c r="G33" s="6">
        <v>0.0</v>
      </c>
      <c r="H33" s="12">
        <f>1-(F33/F31)</f>
        <v>0.2472727273</v>
      </c>
    </row>
    <row r="34">
      <c r="A34" s="1" t="s">
        <v>50</v>
      </c>
      <c r="B34" s="1" t="s">
        <v>51</v>
      </c>
      <c r="C34" s="5">
        <f t="shared" si="8"/>
        <v>5.8</v>
      </c>
      <c r="D34" s="4">
        <v>0.4</v>
      </c>
      <c r="E34" s="5">
        <f t="shared" si="6"/>
        <v>9.666666667</v>
      </c>
      <c r="F34" s="5">
        <f t="shared" si="7"/>
        <v>11.40666667</v>
      </c>
      <c r="G34" s="6">
        <v>0.0</v>
      </c>
      <c r="H34" s="12">
        <f>1-(F34/F31)</f>
        <v>0.31</v>
      </c>
    </row>
    <row r="36">
      <c r="A36" s="1" t="s">
        <v>52</v>
      </c>
    </row>
    <row r="37">
      <c r="C37" s="1" t="s">
        <v>30</v>
      </c>
      <c r="D37" s="1" t="s">
        <v>31</v>
      </c>
      <c r="E37" s="1" t="s">
        <v>53</v>
      </c>
      <c r="F37" s="1" t="s">
        <v>34</v>
      </c>
      <c r="G37" s="1" t="s">
        <v>35</v>
      </c>
    </row>
    <row r="38">
      <c r="A38" s="1" t="s">
        <v>44</v>
      </c>
      <c r="B38" s="1" t="s">
        <v>45</v>
      </c>
      <c r="C38" s="5">
        <f>C4</f>
        <v>11</v>
      </c>
      <c r="D38" s="4">
        <v>0.3</v>
      </c>
      <c r="E38" s="5">
        <f t="shared" ref="E38:E41" si="9">C38/(1-D38)</f>
        <v>15.71428571</v>
      </c>
      <c r="F38" s="5">
        <f t="shared" ref="F38:F41" si="10">E38*1.18</f>
        <v>18.54285714</v>
      </c>
      <c r="G38" s="6">
        <v>0.0</v>
      </c>
      <c r="H38" s="11"/>
    </row>
    <row r="39">
      <c r="A39" s="1" t="s">
        <v>46</v>
      </c>
      <c r="B39" s="1" t="s">
        <v>47</v>
      </c>
      <c r="C39" s="5">
        <f t="shared" ref="C39:C41" si="11">$C$38</f>
        <v>11</v>
      </c>
      <c r="D39" s="4">
        <v>0.22</v>
      </c>
      <c r="E39" s="5">
        <f t="shared" si="9"/>
        <v>14.1025641</v>
      </c>
      <c r="F39" s="14">
        <f t="shared" si="10"/>
        <v>16.64102564</v>
      </c>
      <c r="G39" s="6">
        <v>0.0</v>
      </c>
      <c r="H39" s="12">
        <f>1-(F39/F38)</f>
        <v>0.1025641026</v>
      </c>
    </row>
    <row r="40">
      <c r="A40" s="1" t="s">
        <v>48</v>
      </c>
      <c r="B40" s="1" t="s">
        <v>49</v>
      </c>
      <c r="C40" s="5">
        <f t="shared" si="11"/>
        <v>11</v>
      </c>
      <c r="D40" s="4">
        <v>0.19</v>
      </c>
      <c r="E40" s="5">
        <f t="shared" si="9"/>
        <v>13.58024691</v>
      </c>
      <c r="F40" s="5">
        <f t="shared" si="10"/>
        <v>16.02469136</v>
      </c>
      <c r="G40" s="6">
        <v>0.0</v>
      </c>
      <c r="H40" s="12">
        <f>1-(F40/F38)</f>
        <v>0.1358024691</v>
      </c>
    </row>
    <row r="41">
      <c r="A41" s="1" t="s">
        <v>50</v>
      </c>
      <c r="B41" s="1" t="s">
        <v>51</v>
      </c>
      <c r="C41" s="5">
        <f t="shared" si="11"/>
        <v>11</v>
      </c>
      <c r="D41" s="4">
        <v>0.15</v>
      </c>
      <c r="E41" s="5">
        <f t="shared" si="9"/>
        <v>12.94117647</v>
      </c>
      <c r="F41" s="5">
        <f t="shared" si="10"/>
        <v>15.27058824</v>
      </c>
      <c r="G41" s="6">
        <v>0.0</v>
      </c>
      <c r="H41" s="12">
        <f>1-(F41/F38)</f>
        <v>0.1764705882</v>
      </c>
    </row>
  </sheetData>
  <mergeCells count="8">
    <mergeCell ref="B1:E1"/>
    <mergeCell ref="B15:C15"/>
    <mergeCell ref="E15:F15"/>
    <mergeCell ref="B13:G13"/>
    <mergeCell ref="A22:G22"/>
    <mergeCell ref="A23:B23"/>
    <mergeCell ref="A29:B29"/>
    <mergeCell ref="A36:B36"/>
  </mergeCells>
  <drawing r:id="rId1"/>
</worksheet>
</file>